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<sst xmlns="http://schemas.openxmlformats.org/spreadsheetml/2006/main" count="122" uniqueCount="84">
  <si>
    <t>EPD-nRF52</t>
  </si>
  <si>
    <t>arm_startup_nrf52811.o</t>
  </si>
  <si>
    <t>main.o</t>
  </si>
  <si>
    <t>fds.o</t>
  </si>
  <si>
    <t>nrf_fstorage_sd.o</t>
  </si>
  <si>
    <t>lunar.o</t>
  </si>
  <si>
    <t>app_timer2.o</t>
  </si>
  <si>
    <t>uc8179.o</t>
  </si>
  <si>
    <t>nrfx_gpiote.o</t>
  </si>
  <si>
    <t>ble_conn_params.o</t>
  </si>
  <si>
    <t>epd_driver.o</t>
  </si>
  <si>
    <t>nrfx_spi.o</t>
  </si>
  <si>
    <t>ble_dfu_unbonded.o</t>
  </si>
  <si>
    <t>ble_dfu.o</t>
  </si>
  <si>
    <t>nrf_pwr_mgmt.o</t>
  </si>
  <si>
    <t>nrf_drv_clock.o</t>
  </si>
  <si>
    <t>nrf_drv_spi.o</t>
  </si>
  <si>
    <t>app_scheduler.o</t>
  </si>
  <si>
    <t>gui.o</t>
  </si>
  <si>
    <t>drv_rtc.o</t>
  </si>
  <si>
    <t>app_util_platform.o</t>
  </si>
  <si>
    <t>mc_w.l</t>
  </si>
  <si>
    <t>mvars.o</t>
  </si>
  <si>
    <t>nrfx_wdt.o</t>
  </si>
  <si>
    <t>nrfx_clock.o</t>
  </si>
  <si>
    <t>epd_service.o</t>
  </si>
  <si>
    <t>system_nrf52.o</t>
  </si>
  <si>
    <t>adafruit_gfx.o</t>
  </si>
  <si>
    <t>nrf_sdh.o</t>
  </si>
  <si>
    <t>nrf_sdh_ble.o</t>
  </si>
  <si>
    <t>fonts.o</t>
  </si>
  <si>
    <t>printfa.o</t>
  </si>
  <si>
    <t>ble_advdata.o</t>
  </si>
  <si>
    <t>mf_w.l</t>
  </si>
  <si>
    <t>ble_advertising.o</t>
  </si>
  <si>
    <t>u8g2_font.o</t>
  </si>
  <si>
    <t>ble_srv_common.o</t>
  </si>
  <si>
    <t>nrf_ble_gatt.o</t>
  </si>
  <si>
    <t>nrf_atfifo.o</t>
  </si>
  <si>
    <t>dadd.o</t>
  </si>
  <si>
    <t>nrf_atomic.o</t>
  </si>
  <si>
    <t>epd_config.o</t>
  </si>
  <si>
    <t>nrf_fstorage.o</t>
  </si>
  <si>
    <t>dmul.o</t>
  </si>
  <si>
    <t>ddiv.o</t>
  </si>
  <si>
    <t>malloc.o</t>
  </si>
  <si>
    <t>depilogue.o</t>
  </si>
  <si>
    <t>uldiv.o</t>
  </si>
  <si>
    <t>nrf_sdh_soc.o</t>
  </si>
  <si>
    <t>__dczerorl2.o</t>
  </si>
  <si>
    <t>nrf_sortlist.o</t>
  </si>
  <si>
    <t>nrf_section_iter.o</t>
  </si>
  <si>
    <t>dfixi.o</t>
  </si>
  <si>
    <t>dfixul.o</t>
  </si>
  <si>
    <t>cdrcmple.o</t>
  </si>
  <si>
    <t>app_error_weak.o</t>
  </si>
  <si>
    <t>uidiv.o</t>
  </si>
  <si>
    <t>nrf_dfu_svci.o</t>
  </si>
  <si>
    <t>memseta.o</t>
  </si>
  <si>
    <t>memcpya.o</t>
  </si>
  <si>
    <t>llsshr.o</t>
  </si>
  <si>
    <t>init.o</t>
  </si>
  <si>
    <t>dflti.o</t>
  </si>
  <si>
    <t>llushr.o</t>
  </si>
  <si>
    <t>llshl.o</t>
  </si>
  <si>
    <t>handlers.o</t>
  </si>
  <si>
    <t>dfltui.o</t>
  </si>
  <si>
    <t>strcat.o</t>
  </si>
  <si>
    <t>app_error.o</t>
  </si>
  <si>
    <t>strcpy.o</t>
  </si>
  <si>
    <t>strlen.o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</si>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</sst>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ram_percent!$A$3:$A$76</c:f>
              <c:strCache>
                <c:ptCount val="74"/>
                <c:pt idx="0">
                  <c:v>arm_startup_nrf52811.o</c:v>
                </c:pt>
                <c:pt idx="1">
                  <c:v>main.o</c:v>
                </c:pt>
                <c:pt idx="2">
                  <c:v>fds.o</c:v>
                </c:pt>
                <c:pt idx="3">
                  <c:v>nrf_fstorage_sd.o</c:v>
                </c:pt>
                <c:pt idx="4">
                  <c:v>lunar.o</c:v>
                </c:pt>
                <c:pt idx="5">
                  <c:v>app_timer2.o</c:v>
                </c:pt>
                <c:pt idx="6">
                  <c:v>uc8179.o</c:v>
                </c:pt>
                <c:pt idx="7">
                  <c:v>nrfx_gpiote.o</c:v>
                </c:pt>
                <c:pt idx="8">
                  <c:v>ble_conn_params.o</c:v>
                </c:pt>
                <c:pt idx="9">
                  <c:v>epd_driver.o</c:v>
                </c:pt>
                <c:pt idx="10">
                  <c:v>nrfx_spi.o</c:v>
                </c:pt>
                <c:pt idx="11">
                  <c:v>ble_dfu_unbonded.o</c:v>
                </c:pt>
                <c:pt idx="12">
                  <c:v>ble_dfu.o</c:v>
                </c:pt>
                <c:pt idx="13">
                  <c:v>nrf_pwr_mgmt.o</c:v>
                </c:pt>
                <c:pt idx="14">
                  <c:v>nrf_drv_clock.o</c:v>
                </c:pt>
                <c:pt idx="15">
                  <c:v>nrf_drv_spi.o</c:v>
                </c:pt>
                <c:pt idx="16">
                  <c:v>app_scheduler.o</c:v>
                </c:pt>
                <c:pt idx="17">
                  <c:v>gui.o</c:v>
                </c:pt>
                <c:pt idx="18">
                  <c:v>drv_rtc.o</c:v>
                </c:pt>
                <c:pt idx="19">
                  <c:v>app_util_platform.o</c:v>
                </c:pt>
                <c:pt idx="20">
                  <c:v>mc_w.l</c:v>
                </c:pt>
                <c:pt idx="21">
                  <c:v>mvars.o</c:v>
                </c:pt>
                <c:pt idx="22">
                  <c:v>nrfx_wdt.o</c:v>
                </c:pt>
                <c:pt idx="23">
                  <c:v>nrfx_clock.o</c:v>
                </c:pt>
                <c:pt idx="24">
                  <c:v>epd_service.o</c:v>
                </c:pt>
                <c:pt idx="25">
                  <c:v>system_nrf52.o</c:v>
                </c:pt>
                <c:pt idx="26">
                  <c:v>adafruit_gfx.o</c:v>
                </c:pt>
                <c:pt idx="27">
                  <c:v>nrf_sdh.o</c:v>
                </c:pt>
                <c:pt idx="28">
                  <c:v>nrf_sdh_ble.o</c:v>
                </c:pt>
                <c:pt idx="73">
                  <c:v>Totals</c:v>
                </c:pt>
              </c:strCache>
            </c:strRef>
          </c:cat>
          <c:val>
            <c:numRef>
              <c:f>ram_percent!$B$3:$B$76</c:f>
              <c:numCache>
                <c:formatCode>General</c:formatCode>
                <c:ptCount val="74"/>
                <c:pt idx="0">
                  <c:v>71.58836364746094</c:v>
                </c:pt>
                <c:pt idx="1">
                  <c:v>18.81991004943848</c:v>
                </c:pt>
                <c:pt idx="2">
                  <c:v>1.985458612442017</c:v>
                </c:pt>
                <c:pt idx="3">
                  <c:v>1.286353468894959</c:v>
                </c:pt>
                <c:pt idx="4">
                  <c:v>1.146532416343689</c:v>
                </c:pt>
                <c:pt idx="5">
                  <c:v>0.9787471890449524</c:v>
                </c:pt>
                <c:pt idx="6">
                  <c:v>0.6711409687995911</c:v>
                </c:pt>
                <c:pt idx="7">
                  <c:v>0.6431767344474793</c:v>
                </c:pt>
                <c:pt idx="8">
                  <c:v>0.6152125000953674</c:v>
                </c:pt>
                <c:pt idx="9">
                  <c:v>0.3355704843997955</c:v>
                </c:pt>
                <c:pt idx="10">
                  <c:v>0.3076062500476837</c:v>
                </c:pt>
                <c:pt idx="11">
                  <c:v>0.3076062500476837</c:v>
                </c:pt>
                <c:pt idx="12">
                  <c:v>0.1957494467496872</c:v>
                </c:pt>
                <c:pt idx="13">
                  <c:v>0.1398210227489471</c:v>
                </c:pt>
                <c:pt idx="14">
                  <c:v>0.1398210227489471</c:v>
                </c:pt>
                <c:pt idx="15">
                  <c:v>0.1118568256497383</c:v>
                </c:pt>
                <c:pt idx="16">
                  <c:v>0.1118568256497383</c:v>
                </c:pt>
                <c:pt idx="17">
                  <c:v>0.08389262109994888</c:v>
                </c:pt>
                <c:pt idx="18">
                  <c:v>0.08389262109994888</c:v>
                </c:pt>
                <c:pt idx="19">
                  <c:v>0.08389262109994888</c:v>
                </c:pt>
                <c:pt idx="20">
                  <c:v>0.05592841282486916</c:v>
                </c:pt>
                <c:pt idx="21">
                  <c:v>0.05592841282486916</c:v>
                </c:pt>
                <c:pt idx="22">
                  <c:v>0.05592841282486916</c:v>
                </c:pt>
                <c:pt idx="23">
                  <c:v>0.05592841282486916</c:v>
                </c:pt>
                <c:pt idx="24">
                  <c:v>0.05592841282486916</c:v>
                </c:pt>
                <c:pt idx="25">
                  <c:v>0.02796420641243458</c:v>
                </c:pt>
                <c:pt idx="26">
                  <c:v>0.02796420641243458</c:v>
                </c:pt>
                <c:pt idx="27">
                  <c:v>0.02097315527498722</c:v>
                </c:pt>
                <c:pt idx="28">
                  <c:v>0.006991051603108645</c:v>
                </c:pt>
                <c:pt idx="7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flash_percent!$A$3:$A$76</c:f>
              <c:strCache>
                <c:ptCount val="74"/>
                <c:pt idx="0">
                  <c:v>fonts.o</c:v>
                </c:pt>
                <c:pt idx="1">
                  <c:v>gui.o</c:v>
                </c:pt>
                <c:pt idx="2">
                  <c:v>uc8179.o</c:v>
                </c:pt>
                <c:pt idx="3">
                  <c:v>adafruit_gfx.o</c:v>
                </c:pt>
                <c:pt idx="4">
                  <c:v>fds.o</c:v>
                </c:pt>
                <c:pt idx="5">
                  <c:v>epd_service.o</c:v>
                </c:pt>
                <c:pt idx="6">
                  <c:v>mc_w.l</c:v>
                </c:pt>
                <c:pt idx="7">
                  <c:v>printfa.o</c:v>
                </c:pt>
                <c:pt idx="8">
                  <c:v>lunar.o</c:v>
                </c:pt>
                <c:pt idx="9">
                  <c:v>nrfx_gpiote.o</c:v>
                </c:pt>
                <c:pt idx="10">
                  <c:v>epd_driver.o</c:v>
                </c:pt>
                <c:pt idx="11">
                  <c:v>main.o</c:v>
                </c:pt>
                <c:pt idx="12">
                  <c:v>ble_advdata.o</c:v>
                </c:pt>
                <c:pt idx="13">
                  <c:v>mf_w.l</c:v>
                </c:pt>
                <c:pt idx="14">
                  <c:v>app_timer2.o</c:v>
                </c:pt>
                <c:pt idx="15">
                  <c:v>ble_advertising.o</c:v>
                </c:pt>
                <c:pt idx="16">
                  <c:v>nrfx_spi.o</c:v>
                </c:pt>
                <c:pt idx="17">
                  <c:v>nrf_fstorage_sd.o</c:v>
                </c:pt>
                <c:pt idx="18">
                  <c:v>u8g2_font.o</c:v>
                </c:pt>
                <c:pt idx="19">
                  <c:v>ble_conn_params.o</c:v>
                </c:pt>
                <c:pt idx="20">
                  <c:v>nrf_sdh.o</c:v>
                </c:pt>
                <c:pt idx="21">
                  <c:v>drv_rtc.o</c:v>
                </c:pt>
                <c:pt idx="22">
                  <c:v>system_nrf52.o</c:v>
                </c:pt>
                <c:pt idx="23">
                  <c:v>arm_startup_nrf52811.o</c:v>
                </c:pt>
                <c:pt idx="24">
                  <c:v>ble_dfu.o</c:v>
                </c:pt>
                <c:pt idx="25">
                  <c:v>ble_srv_common.o</c:v>
                </c:pt>
                <c:pt idx="26">
                  <c:v>ble_dfu_unbonded.o</c:v>
                </c:pt>
                <c:pt idx="27">
                  <c:v>nrf_ble_gatt.o</c:v>
                </c:pt>
                <c:pt idx="28">
                  <c:v>nrf_sdh_ble.o</c:v>
                </c:pt>
                <c:pt idx="29">
                  <c:v>nrf_atfifo.o</c:v>
                </c:pt>
                <c:pt idx="30">
                  <c:v>dadd.o</c:v>
                </c:pt>
                <c:pt idx="31">
                  <c:v>nrf_drv_clock.o</c:v>
                </c:pt>
                <c:pt idx="32">
                  <c:v>nrf_pwr_mgmt.o</c:v>
                </c:pt>
                <c:pt idx="33">
                  <c:v>nrf_atomic.o</c:v>
                </c:pt>
                <c:pt idx="34">
                  <c:v>app_scheduler.o</c:v>
                </c:pt>
                <c:pt idx="35">
                  <c:v>epd_config.o</c:v>
                </c:pt>
                <c:pt idx="36">
                  <c:v>nrfx_wdt.o</c:v>
                </c:pt>
                <c:pt idx="37">
                  <c:v>nrfx_clock.o</c:v>
                </c:pt>
                <c:pt idx="38">
                  <c:v>nrf_fstorage.o</c:v>
                </c:pt>
                <c:pt idx="39">
                  <c:v>dmul.o</c:v>
                </c:pt>
                <c:pt idx="40">
                  <c:v>ddiv.o</c:v>
                </c:pt>
                <c:pt idx="41">
                  <c:v>malloc.o</c:v>
                </c:pt>
                <c:pt idx="42">
                  <c:v>depilogue.o</c:v>
                </c:pt>
                <c:pt idx="43">
                  <c:v>app_util_platform.o</c:v>
                </c:pt>
                <c:pt idx="44">
                  <c:v>nrf_drv_spi.o</c:v>
                </c:pt>
                <c:pt idx="45">
                  <c:v>uldiv.o</c:v>
                </c:pt>
                <c:pt idx="46">
                  <c:v>nrf_sdh_soc.o</c:v>
                </c:pt>
                <c:pt idx="47">
                  <c:v>__dczerorl2.o</c:v>
                </c:pt>
                <c:pt idx="48">
                  <c:v>nrf_sortlist.o</c:v>
                </c:pt>
                <c:pt idx="49">
                  <c:v>nrf_section_iter.o</c:v>
                </c:pt>
                <c:pt idx="50">
                  <c:v>dfixi.o</c:v>
                </c:pt>
                <c:pt idx="51">
                  <c:v>dfixul.o</c:v>
                </c:pt>
                <c:pt idx="52">
                  <c:v>cdrcmple.o</c:v>
                </c:pt>
                <c:pt idx="53">
                  <c:v>app_error_weak.o</c:v>
                </c:pt>
                <c:pt idx="54">
                  <c:v>uidiv.o</c:v>
                </c:pt>
                <c:pt idx="55">
                  <c:v>nrf_dfu_svci.o</c:v>
                </c:pt>
                <c:pt idx="56">
                  <c:v>memseta.o</c:v>
                </c:pt>
                <c:pt idx="57">
                  <c:v>memcpya.o</c:v>
                </c:pt>
                <c:pt idx="58">
                  <c:v>llsshr.o</c:v>
                </c:pt>
                <c:pt idx="59">
                  <c:v>init.o</c:v>
                </c:pt>
                <c:pt idx="60">
                  <c:v>dflti.o</c:v>
                </c:pt>
                <c:pt idx="61">
                  <c:v>llushr.o</c:v>
                </c:pt>
                <c:pt idx="62">
                  <c:v>llshl.o</c:v>
                </c:pt>
                <c:pt idx="63">
                  <c:v>handlers.o</c:v>
                </c:pt>
                <c:pt idx="64">
                  <c:v>dfltui.o</c:v>
                </c:pt>
                <c:pt idx="65">
                  <c:v>strcat.o</c:v>
                </c:pt>
                <c:pt idx="66">
                  <c:v>app_error.o</c:v>
                </c:pt>
                <c:pt idx="67">
                  <c:v>strcpy.o</c:v>
                </c:pt>
                <c:pt idx="68">
                  <c:v>strlen.o</c:v>
                </c:pt>
                <c:pt idx="69">
                  <c:v>mvars.o</c:v>
                </c:pt>
                <c:pt idx="70">
                  <c:v>entry9a.o</c:v>
                </c:pt>
                <c:pt idx="71">
                  <c:v>entry2.o</c:v>
                </c:pt>
                <c:pt idx="72">
                  <c:v>entry5.o</c:v>
                </c:pt>
                <c:pt idx="73">
                  <c:v>Totals</c:v>
                </c:pt>
              </c:strCache>
            </c:strRef>
          </c:cat>
          <c:val>
            <c:numRef>
              <c:f>flash_percent!$B$3:$B$76</c:f>
              <c:numCache>
                <c:formatCode>General</c:formatCode>
                <c:ptCount val="74"/>
                <c:pt idx="0">
                  <c:v>15.5540771484375</c:v>
                </c:pt>
                <c:pt idx="1">
                  <c:v>13.44926452636719</c:v>
                </c:pt>
                <c:pt idx="2">
                  <c:v>7.738236427307129</c:v>
                </c:pt>
                <c:pt idx="3">
                  <c:v>5.75220537185669</c:v>
                </c:pt>
                <c:pt idx="4">
                  <c:v>5.7110276222229</c:v>
                </c:pt>
                <c:pt idx="5">
                  <c:v>5.064854621887207</c:v>
                </c:pt>
                <c:pt idx="6">
                  <c:v>4.871636390686035</c:v>
                </c:pt>
                <c:pt idx="7">
                  <c:v>3.705991268157959</c:v>
                </c:pt>
                <c:pt idx="8">
                  <c:v>3.341727256774902</c:v>
                </c:pt>
                <c:pt idx="9">
                  <c:v>2.562518835067749</c:v>
                </c:pt>
                <c:pt idx="10">
                  <c:v>2.366132974624634</c:v>
                </c:pt>
                <c:pt idx="11">
                  <c:v>2.207757234573364</c:v>
                </c:pt>
                <c:pt idx="12">
                  <c:v>2.119066953659058</c:v>
                </c:pt>
                <c:pt idx="13">
                  <c:v>1.881503343582153</c:v>
                </c:pt>
                <c:pt idx="14">
                  <c:v>1.754802703857422</c:v>
                </c:pt>
                <c:pt idx="15">
                  <c:v>1.539411783218384</c:v>
                </c:pt>
                <c:pt idx="16">
                  <c:v>1.507736682891846</c:v>
                </c:pt>
                <c:pt idx="17">
                  <c:v>1.390538692474365</c:v>
                </c:pt>
                <c:pt idx="18">
                  <c:v>1.314518332481384</c:v>
                </c:pt>
                <c:pt idx="19">
                  <c:v>1.032609581947327</c:v>
                </c:pt>
                <c:pt idx="20">
                  <c:v>1.031025767326355</c:v>
                </c:pt>
                <c:pt idx="21">
                  <c:v>0.99776691198349</c:v>
                </c:pt>
                <c:pt idx="22">
                  <c:v>0.8805688619613648</c:v>
                </c:pt>
                <c:pt idx="23">
                  <c:v>0.8678988218307495</c:v>
                </c:pt>
                <c:pt idx="24">
                  <c:v>0.8077160716056824</c:v>
                </c:pt>
                <c:pt idx="25">
                  <c:v>0.7348632216453552</c:v>
                </c:pt>
                <c:pt idx="26">
                  <c:v>0.7158581614494324</c:v>
                </c:pt>
                <c:pt idx="27">
                  <c:v>0.5638175010681152</c:v>
                </c:pt>
                <c:pt idx="28">
                  <c:v>0.5432286262512207</c:v>
                </c:pt>
                <c:pt idx="29">
                  <c:v>0.5416448712348938</c:v>
                </c:pt>
                <c:pt idx="30">
                  <c:v>0.5289748311042786</c:v>
                </c:pt>
                <c:pt idx="31">
                  <c:v>0.5194723010063171</c:v>
                </c:pt>
                <c:pt idx="32">
                  <c:v>0.4687920808792114</c:v>
                </c:pt>
                <c:pt idx="33">
                  <c:v>0.45295450091362</c:v>
                </c:pt>
                <c:pt idx="34">
                  <c:v>0.4497869908809662</c:v>
                </c:pt>
                <c:pt idx="35">
                  <c:v>0.4117768108844757</c:v>
                </c:pt>
                <c:pt idx="36">
                  <c:v>0.3991067707538605</c:v>
                </c:pt>
                <c:pt idx="37">
                  <c:v>0.3769341707229614</c:v>
                </c:pt>
                <c:pt idx="38">
                  <c:v>0.3674316108226776</c:v>
                </c:pt>
                <c:pt idx="39">
                  <c:v>0.36109659075737</c:v>
                </c:pt>
                <c:pt idx="40">
                  <c:v>0.3515940606594086</c:v>
                </c:pt>
                <c:pt idx="41">
                  <c:v>0.2977463006973267</c:v>
                </c:pt>
                <c:pt idx="42">
                  <c:v>0.2945787906646729</c:v>
                </c:pt>
                <c:pt idx="43">
                  <c:v>0.1963858604431152</c:v>
                </c:pt>
                <c:pt idx="44">
                  <c:v>0.1773807853460312</c:v>
                </c:pt>
                <c:pt idx="45">
                  <c:v>0.1552081853151321</c:v>
                </c:pt>
                <c:pt idx="46">
                  <c:v>0.1520406752824783</c:v>
                </c:pt>
                <c:pt idx="47">
                  <c:v>0.1362030953168869</c:v>
                </c:pt>
                <c:pt idx="48">
                  <c:v>0.1330355852842331</c:v>
                </c:pt>
                <c:pt idx="49">
                  <c:v>0.1235330477356911</c:v>
                </c:pt>
                <c:pt idx="50">
                  <c:v>0.09819293022155762</c:v>
                </c:pt>
                <c:pt idx="51">
                  <c:v>0.07602033764123917</c:v>
                </c:pt>
                <c:pt idx="52">
                  <c:v>0.07602033764123917</c:v>
                </c:pt>
                <c:pt idx="53">
                  <c:v>0.07602033764123917</c:v>
                </c:pt>
                <c:pt idx="54">
                  <c:v>0.06968531012535095</c:v>
                </c:pt>
                <c:pt idx="55">
                  <c:v>0.06335028260946274</c:v>
                </c:pt>
                <c:pt idx="56">
                  <c:v>0.05701525136828423</c:v>
                </c:pt>
                <c:pt idx="57">
                  <c:v>0.05701525136828423</c:v>
                </c:pt>
                <c:pt idx="58">
                  <c:v>0.05701525136828423</c:v>
                </c:pt>
                <c:pt idx="59">
                  <c:v>0.05701525136828423</c:v>
                </c:pt>
                <c:pt idx="60">
                  <c:v>0.05384773761034012</c:v>
                </c:pt>
                <c:pt idx="61">
                  <c:v>0.05068022385239601</c:v>
                </c:pt>
                <c:pt idx="62">
                  <c:v>0.0475127100944519</c:v>
                </c:pt>
                <c:pt idx="63">
                  <c:v>0.0475127100944519</c:v>
                </c:pt>
                <c:pt idx="64">
                  <c:v>0.04117768257856369</c:v>
                </c:pt>
                <c:pt idx="65">
                  <c:v>0.03801016882061958</c:v>
                </c:pt>
                <c:pt idx="66">
                  <c:v>0.03484265506267548</c:v>
                </c:pt>
                <c:pt idx="67">
                  <c:v>0.02850762568414211</c:v>
                </c:pt>
                <c:pt idx="68">
                  <c:v>0.0221725981682539</c:v>
                </c:pt>
                <c:pt idx="69">
                  <c:v>0.012670055963099</c:v>
                </c:pt>
                <c:pt idx="70">
                  <c:v>0.012670055963099</c:v>
                </c:pt>
                <c:pt idx="71">
                  <c:v>0.012670055963099</c:v>
                </c:pt>
                <c:pt idx="72">
                  <c:v>0.006335027981549501</c:v>
                </c:pt>
                <c:pt idx="7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76" totalsRowCount="1">
  <autoFilter ref="A2:H75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76" totalsRowCount="1">
  <autoFilter ref="A2:H75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74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</row>
    <row r="3" spans="1:8">
      <c r="A3" s="1" t="s">
        <v>1</v>
      </c>
      <c r="B3" s="2">
        <v>71.58836364746094</v>
      </c>
      <c r="C3" s="1">
        <v>10240</v>
      </c>
      <c r="D3" s="1">
        <v>548</v>
      </c>
      <c r="E3" s="1">
        <v>36</v>
      </c>
      <c r="F3" s="1">
        <v>512</v>
      </c>
      <c r="G3" s="1">
        <v>0</v>
      </c>
      <c r="H3" s="1">
        <v>10240</v>
      </c>
    </row>
    <row r="4" spans="1:8">
      <c r="A4" s="1" t="s">
        <v>2</v>
      </c>
      <c r="B4" s="2">
        <v>18.81991004943848</v>
      </c>
      <c r="C4" s="1">
        <v>2692</v>
      </c>
      <c r="D4" s="1">
        <v>1394</v>
      </c>
      <c r="E4" s="1">
        <v>1254</v>
      </c>
      <c r="F4" s="1">
        <v>88</v>
      </c>
      <c r="G4" s="1">
        <v>52</v>
      </c>
      <c r="H4" s="1">
        <v>2640</v>
      </c>
    </row>
    <row r="5" spans="1:8">
      <c r="A5" s="1" t="s">
        <v>3</v>
      </c>
      <c r="B5" s="2">
        <v>1.985458612442017</v>
      </c>
      <c r="C5" s="1">
        <v>284</v>
      </c>
      <c r="D5" s="1">
        <v>3606</v>
      </c>
      <c r="E5" s="1">
        <v>3514</v>
      </c>
      <c r="F5" s="1">
        <v>24</v>
      </c>
      <c r="G5" s="1">
        <v>68</v>
      </c>
      <c r="H5" s="1">
        <v>216</v>
      </c>
    </row>
    <row r="6" spans="1:8">
      <c r="A6" s="1" t="s">
        <v>4</v>
      </c>
      <c r="B6" s="2">
        <v>1.286353468894959</v>
      </c>
      <c r="C6" s="1">
        <v>184</v>
      </c>
      <c r="D6" s="1">
        <v>878</v>
      </c>
      <c r="E6" s="1">
        <v>798</v>
      </c>
      <c r="F6" s="1">
        <v>72</v>
      </c>
      <c r="G6" s="1">
        <v>8</v>
      </c>
      <c r="H6" s="1">
        <v>176</v>
      </c>
    </row>
    <row r="7" spans="1:8">
      <c r="A7" s="1" t="s">
        <v>5</v>
      </c>
      <c r="B7" s="2">
        <v>1.146532416343689</v>
      </c>
      <c r="C7" s="1">
        <v>164</v>
      </c>
      <c r="D7" s="1">
        <v>2110</v>
      </c>
      <c r="E7" s="1">
        <v>1188</v>
      </c>
      <c r="F7" s="1">
        <v>758</v>
      </c>
      <c r="G7" s="1">
        <v>164</v>
      </c>
      <c r="H7" s="1">
        <v>0</v>
      </c>
    </row>
    <row r="8" spans="1:8">
      <c r="A8" s="1" t="s">
        <v>6</v>
      </c>
      <c r="B8" s="2">
        <v>0.9787471890449524</v>
      </c>
      <c r="C8" s="1">
        <v>140</v>
      </c>
      <c r="D8" s="1">
        <v>1108</v>
      </c>
      <c r="E8" s="1">
        <v>1052</v>
      </c>
      <c r="F8" s="1">
        <v>20</v>
      </c>
      <c r="G8" s="1">
        <v>36</v>
      </c>
      <c r="H8" s="1">
        <v>104</v>
      </c>
    </row>
    <row r="9" spans="1:8">
      <c r="A9" s="1" t="s">
        <v>7</v>
      </c>
      <c r="B9" s="2">
        <v>0.6711409687995911</v>
      </c>
      <c r="C9" s="1">
        <v>96</v>
      </c>
      <c r="D9" s="1">
        <v>4886</v>
      </c>
      <c r="E9" s="1">
        <v>1722</v>
      </c>
      <c r="F9" s="1">
        <v>3068</v>
      </c>
      <c r="G9" s="1">
        <v>96</v>
      </c>
      <c r="H9" s="1">
        <v>0</v>
      </c>
    </row>
    <row r="10" spans="1:8">
      <c r="A10" s="1" t="s">
        <v>8</v>
      </c>
      <c r="B10" s="2">
        <v>0.6431767344474793</v>
      </c>
      <c r="C10" s="1">
        <v>92</v>
      </c>
      <c r="D10" s="1">
        <v>1618</v>
      </c>
      <c r="E10" s="1">
        <v>1614</v>
      </c>
      <c r="F10" s="1">
        <v>4</v>
      </c>
      <c r="G10" s="1">
        <v>0</v>
      </c>
      <c r="H10" s="1">
        <v>92</v>
      </c>
    </row>
    <row r="11" spans="1:8">
      <c r="A11" s="1" t="s">
        <v>9</v>
      </c>
      <c r="B11" s="2">
        <v>0.6152125000953674</v>
      </c>
      <c r="C11" s="1">
        <v>88</v>
      </c>
      <c r="D11" s="1">
        <v>652</v>
      </c>
      <c r="E11" s="1">
        <v>636</v>
      </c>
      <c r="F11" s="1">
        <v>8</v>
      </c>
      <c r="G11" s="1">
        <v>8</v>
      </c>
      <c r="H11" s="1">
        <v>80</v>
      </c>
    </row>
    <row r="12" spans="1:8">
      <c r="A12" s="1" t="s">
        <v>10</v>
      </c>
      <c r="B12" s="2">
        <v>0.3355704843997955</v>
      </c>
      <c r="C12" s="1">
        <v>48</v>
      </c>
      <c r="D12" s="1">
        <v>1494</v>
      </c>
      <c r="E12" s="1">
        <v>1406</v>
      </c>
      <c r="F12" s="1">
        <v>40</v>
      </c>
      <c r="G12" s="1">
        <v>48</v>
      </c>
      <c r="H12" s="1">
        <v>0</v>
      </c>
    </row>
    <row r="13" spans="1:8">
      <c r="A13" s="1" t="s">
        <v>11</v>
      </c>
      <c r="B13" s="2">
        <v>0.3076062500476837</v>
      </c>
      <c r="C13" s="1">
        <v>44</v>
      </c>
      <c r="D13" s="1">
        <v>952</v>
      </c>
      <c r="E13" s="1">
        <v>952</v>
      </c>
      <c r="F13" s="1">
        <v>0</v>
      </c>
      <c r="G13" s="1">
        <v>0</v>
      </c>
      <c r="H13" s="1">
        <v>44</v>
      </c>
    </row>
    <row r="14" spans="1:8">
      <c r="A14" s="1" t="s">
        <v>12</v>
      </c>
      <c r="B14" s="2">
        <v>0.3076062500476837</v>
      </c>
      <c r="C14" s="1">
        <v>44</v>
      </c>
      <c r="D14" s="1">
        <v>452</v>
      </c>
      <c r="E14" s="1">
        <v>440</v>
      </c>
      <c r="F14" s="1">
        <v>8</v>
      </c>
      <c r="G14" s="1">
        <v>4</v>
      </c>
      <c r="H14" s="1">
        <v>40</v>
      </c>
    </row>
    <row r="15" spans="1:8">
      <c r="A15" s="1" t="s">
        <v>13</v>
      </c>
      <c r="B15" s="2">
        <v>0.1957494467496872</v>
      </c>
      <c r="C15" s="1">
        <v>28</v>
      </c>
      <c r="D15" s="1">
        <v>510</v>
      </c>
      <c r="E15" s="1">
        <v>478</v>
      </c>
      <c r="F15" s="1">
        <v>32</v>
      </c>
      <c r="G15" s="1">
        <v>0</v>
      </c>
      <c r="H15" s="1">
        <v>28</v>
      </c>
    </row>
    <row r="16" spans="1:8">
      <c r="A16" s="1" t="s">
        <v>14</v>
      </c>
      <c r="B16" s="2">
        <v>0.1398210227489471</v>
      </c>
      <c r="C16" s="1">
        <v>20</v>
      </c>
      <c r="D16" s="1">
        <v>296</v>
      </c>
      <c r="E16" s="1">
        <v>252</v>
      </c>
      <c r="F16" s="1">
        <v>36</v>
      </c>
      <c r="G16" s="1">
        <v>8</v>
      </c>
      <c r="H16" s="1">
        <v>12</v>
      </c>
    </row>
    <row r="17" spans="1:8">
      <c r="A17" s="1" t="s">
        <v>15</v>
      </c>
      <c r="B17" s="2">
        <v>0.1398210227489471</v>
      </c>
      <c r="C17" s="1">
        <v>20</v>
      </c>
      <c r="D17" s="1">
        <v>328</v>
      </c>
      <c r="E17" s="1">
        <v>312</v>
      </c>
      <c r="F17" s="1">
        <v>16</v>
      </c>
      <c r="G17" s="1">
        <v>0</v>
      </c>
      <c r="H17" s="1">
        <v>20</v>
      </c>
    </row>
    <row r="18" spans="1:8">
      <c r="A18" s="1" t="s">
        <v>16</v>
      </c>
      <c r="B18" s="2">
        <v>0.1118568256497383</v>
      </c>
      <c r="C18" s="1">
        <v>16</v>
      </c>
      <c r="D18" s="1">
        <v>112</v>
      </c>
      <c r="E18" s="1">
        <v>96</v>
      </c>
      <c r="F18" s="1">
        <v>0</v>
      </c>
      <c r="G18" s="1">
        <v>16</v>
      </c>
      <c r="H18" s="1">
        <v>0</v>
      </c>
    </row>
    <row r="19" spans="1:8">
      <c r="A19" s="1" t="s">
        <v>17</v>
      </c>
      <c r="B19" s="2">
        <v>0.1118568256497383</v>
      </c>
      <c r="C19" s="1">
        <v>16</v>
      </c>
      <c r="D19" s="1">
        <v>284</v>
      </c>
      <c r="E19" s="1">
        <v>268</v>
      </c>
      <c r="F19" s="1">
        <v>0</v>
      </c>
      <c r="G19" s="1">
        <v>16</v>
      </c>
      <c r="H19" s="1">
        <v>0</v>
      </c>
    </row>
    <row r="20" spans="1:8">
      <c r="A20" s="1" t="s">
        <v>18</v>
      </c>
      <c r="B20" s="2">
        <v>0.08389262109994888</v>
      </c>
      <c r="C20" s="1">
        <v>12</v>
      </c>
      <c r="D20" s="1">
        <v>8492</v>
      </c>
      <c r="E20" s="1">
        <v>7992</v>
      </c>
      <c r="F20" s="1">
        <v>488</v>
      </c>
      <c r="G20" s="1">
        <v>12</v>
      </c>
      <c r="H20" s="1">
        <v>0</v>
      </c>
    </row>
    <row r="21" spans="1:8">
      <c r="A21" s="1" t="s">
        <v>19</v>
      </c>
      <c r="B21" s="2">
        <v>0.08389262109994888</v>
      </c>
      <c r="C21" s="1">
        <v>12</v>
      </c>
      <c r="D21" s="1">
        <v>630</v>
      </c>
      <c r="E21" s="1">
        <v>612</v>
      </c>
      <c r="F21" s="1">
        <v>6</v>
      </c>
      <c r="G21" s="1">
        <v>12</v>
      </c>
      <c r="H21" s="1">
        <v>0</v>
      </c>
    </row>
    <row r="22" spans="1:8">
      <c r="A22" s="1" t="s">
        <v>20</v>
      </c>
      <c r="B22" s="2">
        <v>0.08389262109994888</v>
      </c>
      <c r="C22" s="1">
        <v>12</v>
      </c>
      <c r="D22" s="1">
        <v>124</v>
      </c>
      <c r="E22" s="1">
        <v>124</v>
      </c>
      <c r="F22" s="1">
        <v>0</v>
      </c>
      <c r="G22" s="1">
        <v>0</v>
      </c>
      <c r="H22" s="1">
        <v>12</v>
      </c>
    </row>
    <row r="23" spans="1:8">
      <c r="A23" s="1" t="s">
        <v>21</v>
      </c>
      <c r="B23" s="2">
        <v>0.05592841282486916</v>
      </c>
      <c r="C23" s="1">
        <v>8</v>
      </c>
      <c r="D23" s="1">
        <v>3076</v>
      </c>
      <c r="E23" s="1">
        <v>3068</v>
      </c>
      <c r="F23" s="1">
        <v>0</v>
      </c>
      <c r="G23" s="1">
        <v>8</v>
      </c>
      <c r="H23" s="1">
        <v>0</v>
      </c>
    </row>
    <row r="24" spans="1:8">
      <c r="A24" s="1" t="s">
        <v>22</v>
      </c>
      <c r="B24" s="2">
        <v>0.05592841282486916</v>
      </c>
      <c r="C24" s="1">
        <v>8</v>
      </c>
      <c r="D24" s="1">
        <v>8</v>
      </c>
      <c r="E24" s="1">
        <v>0</v>
      </c>
      <c r="F24" s="1">
        <v>0</v>
      </c>
      <c r="G24" s="1">
        <v>8</v>
      </c>
      <c r="H24" s="1">
        <v>0</v>
      </c>
    </row>
    <row r="25" spans="1:8">
      <c r="A25" s="1" t="s">
        <v>23</v>
      </c>
      <c r="B25" s="2">
        <v>0.05592841282486916</v>
      </c>
      <c r="C25" s="1">
        <v>8</v>
      </c>
      <c r="D25" s="1">
        <v>252</v>
      </c>
      <c r="E25" s="1">
        <v>244</v>
      </c>
      <c r="F25" s="1">
        <v>0</v>
      </c>
      <c r="G25" s="1">
        <v>8</v>
      </c>
      <c r="H25" s="1">
        <v>0</v>
      </c>
    </row>
    <row r="26" spans="1:8">
      <c r="A26" s="1" t="s">
        <v>24</v>
      </c>
      <c r="B26" s="2">
        <v>0.05592841282486916</v>
      </c>
      <c r="C26" s="1">
        <v>8</v>
      </c>
      <c r="D26" s="1">
        <v>238</v>
      </c>
      <c r="E26" s="1">
        <v>230</v>
      </c>
      <c r="F26" s="1">
        <v>0</v>
      </c>
      <c r="G26" s="1">
        <v>8</v>
      </c>
      <c r="H26" s="1">
        <v>0</v>
      </c>
    </row>
    <row r="27" spans="1:8">
      <c r="A27" s="1" t="s">
        <v>25</v>
      </c>
      <c r="B27" s="2">
        <v>0.05592841282486916</v>
      </c>
      <c r="C27" s="1">
        <v>8</v>
      </c>
      <c r="D27" s="1">
        <v>3198</v>
      </c>
      <c r="E27" s="1">
        <v>3166</v>
      </c>
      <c r="F27" s="1">
        <v>24</v>
      </c>
      <c r="G27" s="1">
        <v>8</v>
      </c>
      <c r="H27" s="1">
        <v>0</v>
      </c>
    </row>
    <row r="28" spans="1:8">
      <c r="A28" s="1" t="s">
        <v>26</v>
      </c>
      <c r="B28" s="2">
        <v>0.02796420641243458</v>
      </c>
      <c r="C28" s="1">
        <v>4</v>
      </c>
      <c r="D28" s="1">
        <v>556</v>
      </c>
      <c r="E28" s="1">
        <v>552</v>
      </c>
      <c r="F28" s="1">
        <v>0</v>
      </c>
      <c r="G28" s="1">
        <v>4</v>
      </c>
      <c r="H28" s="1">
        <v>0</v>
      </c>
    </row>
    <row r="29" spans="1:8">
      <c r="A29" s="1" t="s">
        <v>27</v>
      </c>
      <c r="B29" s="2">
        <v>0.02796420641243458</v>
      </c>
      <c r="C29" s="1">
        <v>4</v>
      </c>
      <c r="D29" s="1">
        <v>3632</v>
      </c>
      <c r="E29" s="1">
        <v>3628</v>
      </c>
      <c r="F29" s="1">
        <v>0</v>
      </c>
      <c r="G29" s="1">
        <v>4</v>
      </c>
      <c r="H29" s="1">
        <v>0</v>
      </c>
    </row>
    <row r="30" spans="1:8">
      <c r="A30" s="1" t="s">
        <v>28</v>
      </c>
      <c r="B30" s="2">
        <v>0.02097315527498722</v>
      </c>
      <c r="C30" s="1">
        <v>3</v>
      </c>
      <c r="D30" s="1">
        <v>651</v>
      </c>
      <c r="E30" s="1">
        <v>560</v>
      </c>
      <c r="F30" s="1">
        <v>88</v>
      </c>
      <c r="G30" s="1">
        <v>3</v>
      </c>
      <c r="H30" s="1">
        <v>0</v>
      </c>
    </row>
    <row r="31" spans="1:8">
      <c r="A31" s="1" t="s">
        <v>29</v>
      </c>
      <c r="B31" s="2">
        <v>0.006991051603108645</v>
      </c>
      <c r="C31" s="1">
        <v>1</v>
      </c>
      <c r="D31" s="1">
        <v>343</v>
      </c>
      <c r="E31" s="1">
        <v>286</v>
      </c>
      <c r="F31" s="1">
        <v>56</v>
      </c>
      <c r="G31" s="1">
        <v>1</v>
      </c>
      <c r="H31" s="1">
        <v>0</v>
      </c>
    </row>
    <row r="76" spans="1:8">
      <c r="A76" t="s">
        <v>75</v>
      </c>
      <c r="B76">
        <f>SUBTOTAL(109,[ram_percent])</f>
        <v>0</v>
      </c>
      <c r="C76">
        <f>SUBTOTAL(109,[ram])</f>
        <v>0</v>
      </c>
      <c r="D76">
        <f>SUBTOTAL(109,[flash])</f>
        <v>0</v>
      </c>
      <c r="E76">
        <f>SUBTOTAL(109,[Code])</f>
        <v>0</v>
      </c>
      <c r="F76">
        <f>SUBTOTAL(109,[RO_data])</f>
        <v>0</v>
      </c>
      <c r="G76">
        <f>SUBTOTAL(109,[RW_data])</f>
        <v>0</v>
      </c>
      <c r="H7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76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74</v>
      </c>
      <c r="B2" t="s">
        <v>83</v>
      </c>
      <c r="C2" t="s">
        <v>78</v>
      </c>
      <c r="D2" t="s">
        <v>77</v>
      </c>
      <c r="E2" t="s">
        <v>79</v>
      </c>
      <c r="F2" t="s">
        <v>80</v>
      </c>
      <c r="G2" t="s">
        <v>81</v>
      </c>
      <c r="H2" t="s">
        <v>82</v>
      </c>
    </row>
    <row r="3" spans="1:8">
      <c r="A3" s="1" t="s">
        <v>30</v>
      </c>
      <c r="B3" s="2">
        <v>15.5540771484375</v>
      </c>
      <c r="C3" s="1">
        <v>9821</v>
      </c>
      <c r="D3" s="1">
        <v>0</v>
      </c>
      <c r="E3" s="1">
        <v>0</v>
      </c>
      <c r="F3" s="1">
        <v>9821</v>
      </c>
      <c r="G3" s="1">
        <v>0</v>
      </c>
      <c r="H3" s="1">
        <v>0</v>
      </c>
    </row>
    <row r="4" spans="1:8">
      <c r="A4" s="1" t="s">
        <v>18</v>
      </c>
      <c r="B4" s="2">
        <v>13.44926452636719</v>
      </c>
      <c r="C4" s="1">
        <v>8492</v>
      </c>
      <c r="D4" s="1">
        <v>12</v>
      </c>
      <c r="E4" s="1">
        <v>7992</v>
      </c>
      <c r="F4" s="1">
        <v>488</v>
      </c>
      <c r="G4" s="1">
        <v>12</v>
      </c>
      <c r="H4" s="1">
        <v>0</v>
      </c>
    </row>
    <row r="5" spans="1:8">
      <c r="A5" s="1" t="s">
        <v>7</v>
      </c>
      <c r="B5" s="2">
        <v>7.738236427307129</v>
      </c>
      <c r="C5" s="1">
        <v>4886</v>
      </c>
      <c r="D5" s="1">
        <v>96</v>
      </c>
      <c r="E5" s="1">
        <v>1722</v>
      </c>
      <c r="F5" s="1">
        <v>3068</v>
      </c>
      <c r="G5" s="1">
        <v>96</v>
      </c>
      <c r="H5" s="1">
        <v>0</v>
      </c>
    </row>
    <row r="6" spans="1:8">
      <c r="A6" s="1" t="s">
        <v>27</v>
      </c>
      <c r="B6" s="2">
        <v>5.75220537185669</v>
      </c>
      <c r="C6" s="1">
        <v>3632</v>
      </c>
      <c r="D6" s="1">
        <v>4</v>
      </c>
      <c r="E6" s="1">
        <v>3628</v>
      </c>
      <c r="F6" s="1">
        <v>0</v>
      </c>
      <c r="G6" s="1">
        <v>4</v>
      </c>
      <c r="H6" s="1">
        <v>0</v>
      </c>
    </row>
    <row r="7" spans="1:8">
      <c r="A7" s="1" t="s">
        <v>3</v>
      </c>
      <c r="B7" s="2">
        <v>5.7110276222229</v>
      </c>
      <c r="C7" s="1">
        <v>3606</v>
      </c>
      <c r="D7" s="1">
        <v>284</v>
      </c>
      <c r="E7" s="1">
        <v>3514</v>
      </c>
      <c r="F7" s="1">
        <v>24</v>
      </c>
      <c r="G7" s="1">
        <v>68</v>
      </c>
      <c r="H7" s="1">
        <v>216</v>
      </c>
    </row>
    <row r="8" spans="1:8">
      <c r="A8" s="1" t="s">
        <v>25</v>
      </c>
      <c r="B8" s="2">
        <v>5.064854621887207</v>
      </c>
      <c r="C8" s="1">
        <v>3198</v>
      </c>
      <c r="D8" s="1">
        <v>8</v>
      </c>
      <c r="E8" s="1">
        <v>3166</v>
      </c>
      <c r="F8" s="1">
        <v>24</v>
      </c>
      <c r="G8" s="1">
        <v>8</v>
      </c>
      <c r="H8" s="1">
        <v>0</v>
      </c>
    </row>
    <row r="9" spans="1:8">
      <c r="A9" s="1" t="s">
        <v>21</v>
      </c>
      <c r="B9" s="2">
        <v>4.871636390686035</v>
      </c>
      <c r="C9" s="1">
        <v>3076</v>
      </c>
      <c r="D9" s="1">
        <v>8</v>
      </c>
      <c r="E9" s="1">
        <v>3068</v>
      </c>
      <c r="F9" s="1">
        <v>0</v>
      </c>
      <c r="G9" s="1">
        <v>8</v>
      </c>
      <c r="H9" s="1">
        <v>0</v>
      </c>
    </row>
    <row r="10" spans="1:8">
      <c r="A10" s="1" t="s">
        <v>31</v>
      </c>
      <c r="B10" s="2">
        <v>3.705991268157959</v>
      </c>
      <c r="C10" s="1">
        <v>2340</v>
      </c>
      <c r="D10" s="1">
        <v>0</v>
      </c>
      <c r="E10" s="1">
        <v>2340</v>
      </c>
      <c r="F10" s="1">
        <v>0</v>
      </c>
      <c r="G10" s="1">
        <v>0</v>
      </c>
      <c r="H10" s="1">
        <v>0</v>
      </c>
    </row>
    <row r="11" spans="1:8">
      <c r="A11" s="1" t="s">
        <v>5</v>
      </c>
      <c r="B11" s="2">
        <v>3.341727256774902</v>
      </c>
      <c r="C11" s="1">
        <v>2110</v>
      </c>
      <c r="D11" s="1">
        <v>164</v>
      </c>
      <c r="E11" s="1">
        <v>1188</v>
      </c>
      <c r="F11" s="1">
        <v>758</v>
      </c>
      <c r="G11" s="1">
        <v>164</v>
      </c>
      <c r="H11" s="1">
        <v>0</v>
      </c>
    </row>
    <row r="12" spans="1:8">
      <c r="A12" s="1" t="s">
        <v>8</v>
      </c>
      <c r="B12" s="2">
        <v>2.562518835067749</v>
      </c>
      <c r="C12" s="1">
        <v>1618</v>
      </c>
      <c r="D12" s="1">
        <v>92</v>
      </c>
      <c r="E12" s="1">
        <v>1614</v>
      </c>
      <c r="F12" s="1">
        <v>4</v>
      </c>
      <c r="G12" s="1">
        <v>0</v>
      </c>
      <c r="H12" s="1">
        <v>92</v>
      </c>
    </row>
    <row r="13" spans="1:8">
      <c r="A13" s="1" t="s">
        <v>10</v>
      </c>
      <c r="B13" s="2">
        <v>2.366132974624634</v>
      </c>
      <c r="C13" s="1">
        <v>1494</v>
      </c>
      <c r="D13" s="1">
        <v>48</v>
      </c>
      <c r="E13" s="1">
        <v>1406</v>
      </c>
      <c r="F13" s="1">
        <v>40</v>
      </c>
      <c r="G13" s="1">
        <v>48</v>
      </c>
      <c r="H13" s="1">
        <v>0</v>
      </c>
    </row>
    <row r="14" spans="1:8">
      <c r="A14" s="1" t="s">
        <v>2</v>
      </c>
      <c r="B14" s="2">
        <v>2.207757234573364</v>
      </c>
      <c r="C14" s="1">
        <v>1394</v>
      </c>
      <c r="D14" s="1">
        <v>2692</v>
      </c>
      <c r="E14" s="1">
        <v>1254</v>
      </c>
      <c r="F14" s="1">
        <v>88</v>
      </c>
      <c r="G14" s="1">
        <v>52</v>
      </c>
      <c r="H14" s="1">
        <v>2640</v>
      </c>
    </row>
    <row r="15" spans="1:8">
      <c r="A15" s="1" t="s">
        <v>32</v>
      </c>
      <c r="B15" s="2">
        <v>2.119066953659058</v>
      </c>
      <c r="C15" s="1">
        <v>1338</v>
      </c>
      <c r="D15" s="1">
        <v>0</v>
      </c>
      <c r="E15" s="1">
        <v>1338</v>
      </c>
      <c r="F15" s="1">
        <v>0</v>
      </c>
      <c r="G15" s="1">
        <v>0</v>
      </c>
      <c r="H15" s="1">
        <v>0</v>
      </c>
    </row>
    <row r="16" spans="1:8">
      <c r="A16" s="1" t="s">
        <v>33</v>
      </c>
      <c r="B16" s="2">
        <v>1.881503343582153</v>
      </c>
      <c r="C16" s="1">
        <v>1188</v>
      </c>
      <c r="D16" s="1">
        <v>0</v>
      </c>
      <c r="E16" s="1">
        <v>1188</v>
      </c>
      <c r="F16" s="1">
        <v>0</v>
      </c>
      <c r="G16" s="1">
        <v>0</v>
      </c>
      <c r="H16" s="1">
        <v>0</v>
      </c>
    </row>
    <row r="17" spans="1:8">
      <c r="A17" s="1" t="s">
        <v>6</v>
      </c>
      <c r="B17" s="2">
        <v>1.754802703857422</v>
      </c>
      <c r="C17" s="1">
        <v>1108</v>
      </c>
      <c r="D17" s="1">
        <v>140</v>
      </c>
      <c r="E17" s="1">
        <v>1052</v>
      </c>
      <c r="F17" s="1">
        <v>20</v>
      </c>
      <c r="G17" s="1">
        <v>36</v>
      </c>
      <c r="H17" s="1">
        <v>104</v>
      </c>
    </row>
    <row r="18" spans="1:8">
      <c r="A18" s="1" t="s">
        <v>34</v>
      </c>
      <c r="B18" s="2">
        <v>1.539411783218384</v>
      </c>
      <c r="C18" s="1">
        <v>972</v>
      </c>
      <c r="D18" s="1">
        <v>0</v>
      </c>
      <c r="E18" s="1">
        <v>972</v>
      </c>
      <c r="F18" s="1">
        <v>0</v>
      </c>
      <c r="G18" s="1">
        <v>0</v>
      </c>
      <c r="H18" s="1">
        <v>0</v>
      </c>
    </row>
    <row r="19" spans="1:8">
      <c r="A19" s="1" t="s">
        <v>11</v>
      </c>
      <c r="B19" s="2">
        <v>1.507736682891846</v>
      </c>
      <c r="C19" s="1">
        <v>952</v>
      </c>
      <c r="D19" s="1">
        <v>44</v>
      </c>
      <c r="E19" s="1">
        <v>952</v>
      </c>
      <c r="F19" s="1">
        <v>0</v>
      </c>
      <c r="G19" s="1">
        <v>0</v>
      </c>
      <c r="H19" s="1">
        <v>44</v>
      </c>
    </row>
    <row r="20" spans="1:8">
      <c r="A20" s="1" t="s">
        <v>4</v>
      </c>
      <c r="B20" s="2">
        <v>1.390538692474365</v>
      </c>
      <c r="C20" s="1">
        <v>878</v>
      </c>
      <c r="D20" s="1">
        <v>184</v>
      </c>
      <c r="E20" s="1">
        <v>798</v>
      </c>
      <c r="F20" s="1">
        <v>72</v>
      </c>
      <c r="G20" s="1">
        <v>8</v>
      </c>
      <c r="H20" s="1">
        <v>176</v>
      </c>
    </row>
    <row r="21" spans="1:8">
      <c r="A21" s="1" t="s">
        <v>35</v>
      </c>
      <c r="B21" s="2">
        <v>1.314518332481384</v>
      </c>
      <c r="C21" s="1">
        <v>830</v>
      </c>
      <c r="D21" s="1">
        <v>0</v>
      </c>
      <c r="E21" s="1">
        <v>830</v>
      </c>
      <c r="F21" s="1">
        <v>0</v>
      </c>
      <c r="G21" s="1">
        <v>0</v>
      </c>
      <c r="H21" s="1">
        <v>0</v>
      </c>
    </row>
    <row r="22" spans="1:8">
      <c r="A22" s="1" t="s">
        <v>9</v>
      </c>
      <c r="B22" s="2">
        <v>1.032609581947327</v>
      </c>
      <c r="C22" s="1">
        <v>652</v>
      </c>
      <c r="D22" s="1">
        <v>88</v>
      </c>
      <c r="E22" s="1">
        <v>636</v>
      </c>
      <c r="F22" s="1">
        <v>8</v>
      </c>
      <c r="G22" s="1">
        <v>8</v>
      </c>
      <c r="H22" s="1">
        <v>80</v>
      </c>
    </row>
    <row r="23" spans="1:8">
      <c r="A23" s="1" t="s">
        <v>28</v>
      </c>
      <c r="B23" s="2">
        <v>1.031025767326355</v>
      </c>
      <c r="C23" s="1">
        <v>651</v>
      </c>
      <c r="D23" s="1">
        <v>3</v>
      </c>
      <c r="E23" s="1">
        <v>560</v>
      </c>
      <c r="F23" s="1">
        <v>88</v>
      </c>
      <c r="G23" s="1">
        <v>3</v>
      </c>
      <c r="H23" s="1">
        <v>0</v>
      </c>
    </row>
    <row r="24" spans="1:8">
      <c r="A24" s="1" t="s">
        <v>19</v>
      </c>
      <c r="B24" s="2">
        <v>0.99776691198349</v>
      </c>
      <c r="C24" s="1">
        <v>630</v>
      </c>
      <c r="D24" s="1">
        <v>12</v>
      </c>
      <c r="E24" s="1">
        <v>612</v>
      </c>
      <c r="F24" s="1">
        <v>6</v>
      </c>
      <c r="G24" s="1">
        <v>12</v>
      </c>
      <c r="H24" s="1">
        <v>0</v>
      </c>
    </row>
    <row r="25" spans="1:8">
      <c r="A25" s="1" t="s">
        <v>26</v>
      </c>
      <c r="B25" s="2">
        <v>0.8805688619613648</v>
      </c>
      <c r="C25" s="1">
        <v>556</v>
      </c>
      <c r="D25" s="1">
        <v>4</v>
      </c>
      <c r="E25" s="1">
        <v>552</v>
      </c>
      <c r="F25" s="1">
        <v>0</v>
      </c>
      <c r="G25" s="1">
        <v>4</v>
      </c>
      <c r="H25" s="1">
        <v>0</v>
      </c>
    </row>
    <row r="26" spans="1:8">
      <c r="A26" s="1" t="s">
        <v>1</v>
      </c>
      <c r="B26" s="2">
        <v>0.8678988218307495</v>
      </c>
      <c r="C26" s="1">
        <v>548</v>
      </c>
      <c r="D26" s="1">
        <v>10240</v>
      </c>
      <c r="E26" s="1">
        <v>36</v>
      </c>
      <c r="F26" s="1">
        <v>512</v>
      </c>
      <c r="G26" s="1">
        <v>0</v>
      </c>
      <c r="H26" s="1">
        <v>10240</v>
      </c>
    </row>
    <row r="27" spans="1:8">
      <c r="A27" s="1" t="s">
        <v>13</v>
      </c>
      <c r="B27" s="2">
        <v>0.8077160716056824</v>
      </c>
      <c r="C27" s="1">
        <v>510</v>
      </c>
      <c r="D27" s="1">
        <v>28</v>
      </c>
      <c r="E27" s="1">
        <v>478</v>
      </c>
      <c r="F27" s="1">
        <v>32</v>
      </c>
      <c r="G27" s="1">
        <v>0</v>
      </c>
      <c r="H27" s="1">
        <v>28</v>
      </c>
    </row>
    <row r="28" spans="1:8">
      <c r="A28" s="1" t="s">
        <v>36</v>
      </c>
      <c r="B28" s="2">
        <v>0.7348632216453552</v>
      </c>
      <c r="C28" s="1">
        <v>464</v>
      </c>
      <c r="D28" s="1">
        <v>0</v>
      </c>
      <c r="E28" s="1">
        <v>464</v>
      </c>
      <c r="F28" s="1">
        <v>0</v>
      </c>
      <c r="G28" s="1">
        <v>0</v>
      </c>
      <c r="H28" s="1">
        <v>0</v>
      </c>
    </row>
    <row r="29" spans="1:8">
      <c r="A29" s="1" t="s">
        <v>12</v>
      </c>
      <c r="B29" s="2">
        <v>0.7158581614494324</v>
      </c>
      <c r="C29" s="1">
        <v>452</v>
      </c>
      <c r="D29" s="1">
        <v>44</v>
      </c>
      <c r="E29" s="1">
        <v>440</v>
      </c>
      <c r="F29" s="1">
        <v>8</v>
      </c>
      <c r="G29" s="1">
        <v>4</v>
      </c>
      <c r="H29" s="1">
        <v>40</v>
      </c>
    </row>
    <row r="30" spans="1:8">
      <c r="A30" s="1" t="s">
        <v>37</v>
      </c>
      <c r="B30" s="2">
        <v>0.5638175010681152</v>
      </c>
      <c r="C30" s="1">
        <v>356</v>
      </c>
      <c r="D30" s="1">
        <v>0</v>
      </c>
      <c r="E30" s="1">
        <v>342</v>
      </c>
      <c r="F30" s="1">
        <v>14</v>
      </c>
      <c r="G30" s="1">
        <v>0</v>
      </c>
      <c r="H30" s="1">
        <v>0</v>
      </c>
    </row>
    <row r="31" spans="1:8">
      <c r="A31" s="1" t="s">
        <v>29</v>
      </c>
      <c r="B31" s="2">
        <v>0.5432286262512207</v>
      </c>
      <c r="C31" s="1">
        <v>343</v>
      </c>
      <c r="D31" s="1">
        <v>1</v>
      </c>
      <c r="E31" s="1">
        <v>286</v>
      </c>
      <c r="F31" s="1">
        <v>56</v>
      </c>
      <c r="G31" s="1">
        <v>1</v>
      </c>
      <c r="H31" s="1">
        <v>0</v>
      </c>
    </row>
    <row r="32" spans="1:8">
      <c r="A32" s="1" t="s">
        <v>38</v>
      </c>
      <c r="B32" s="2">
        <v>0.5416448712348938</v>
      </c>
      <c r="C32" s="1">
        <v>342</v>
      </c>
      <c r="D32" s="1">
        <v>0</v>
      </c>
      <c r="E32" s="1">
        <v>342</v>
      </c>
      <c r="F32" s="1">
        <v>0</v>
      </c>
      <c r="G32" s="1">
        <v>0</v>
      </c>
      <c r="H32" s="1">
        <v>0</v>
      </c>
    </row>
    <row r="33" spans="1:8">
      <c r="A33" s="1" t="s">
        <v>39</v>
      </c>
      <c r="B33" s="2">
        <v>0.5289748311042786</v>
      </c>
      <c r="C33" s="1">
        <v>334</v>
      </c>
      <c r="D33" s="1">
        <v>0</v>
      </c>
      <c r="E33" s="1">
        <v>334</v>
      </c>
      <c r="F33" s="1">
        <v>0</v>
      </c>
      <c r="G33" s="1">
        <v>0</v>
      </c>
      <c r="H33" s="1">
        <v>0</v>
      </c>
    </row>
    <row r="34" spans="1:8">
      <c r="A34" s="1" t="s">
        <v>15</v>
      </c>
      <c r="B34" s="2">
        <v>0.5194723010063171</v>
      </c>
      <c r="C34" s="1">
        <v>328</v>
      </c>
      <c r="D34" s="1">
        <v>20</v>
      </c>
      <c r="E34" s="1">
        <v>312</v>
      </c>
      <c r="F34" s="1">
        <v>16</v>
      </c>
      <c r="G34" s="1">
        <v>0</v>
      </c>
      <c r="H34" s="1">
        <v>20</v>
      </c>
    </row>
    <row r="35" spans="1:8">
      <c r="A35" s="1" t="s">
        <v>14</v>
      </c>
      <c r="B35" s="2">
        <v>0.4687920808792114</v>
      </c>
      <c r="C35" s="1">
        <v>296</v>
      </c>
      <c r="D35" s="1">
        <v>20</v>
      </c>
      <c r="E35" s="1">
        <v>252</v>
      </c>
      <c r="F35" s="1">
        <v>36</v>
      </c>
      <c r="G35" s="1">
        <v>8</v>
      </c>
      <c r="H35" s="1">
        <v>12</v>
      </c>
    </row>
    <row r="36" spans="1:8">
      <c r="A36" s="1" t="s">
        <v>40</v>
      </c>
      <c r="B36" s="2">
        <v>0.45295450091362</v>
      </c>
      <c r="C36" s="1">
        <v>286</v>
      </c>
      <c r="D36" s="1">
        <v>0</v>
      </c>
      <c r="E36" s="1">
        <v>286</v>
      </c>
      <c r="F36" s="1">
        <v>0</v>
      </c>
      <c r="G36" s="1">
        <v>0</v>
      </c>
      <c r="H36" s="1">
        <v>0</v>
      </c>
    </row>
    <row r="37" spans="1:8">
      <c r="A37" s="1" t="s">
        <v>17</v>
      </c>
      <c r="B37" s="2">
        <v>0.4497869908809662</v>
      </c>
      <c r="C37" s="1">
        <v>284</v>
      </c>
      <c r="D37" s="1">
        <v>16</v>
      </c>
      <c r="E37" s="1">
        <v>268</v>
      </c>
      <c r="F37" s="1">
        <v>0</v>
      </c>
      <c r="G37" s="1">
        <v>16</v>
      </c>
      <c r="H37" s="1">
        <v>0</v>
      </c>
    </row>
    <row r="38" spans="1:8">
      <c r="A38" s="1" t="s">
        <v>41</v>
      </c>
      <c r="B38" s="2">
        <v>0.4117768108844757</v>
      </c>
      <c r="C38" s="1">
        <v>260</v>
      </c>
      <c r="D38" s="1">
        <v>0</v>
      </c>
      <c r="E38" s="1">
        <v>260</v>
      </c>
      <c r="F38" s="1">
        <v>0</v>
      </c>
      <c r="G38" s="1">
        <v>0</v>
      </c>
      <c r="H38" s="1">
        <v>0</v>
      </c>
    </row>
    <row r="39" spans="1:8">
      <c r="A39" s="1" t="s">
        <v>23</v>
      </c>
      <c r="B39" s="2">
        <v>0.3991067707538605</v>
      </c>
      <c r="C39" s="1">
        <v>252</v>
      </c>
      <c r="D39" s="1">
        <v>8</v>
      </c>
      <c r="E39" s="1">
        <v>244</v>
      </c>
      <c r="F39" s="1">
        <v>0</v>
      </c>
      <c r="G39" s="1">
        <v>8</v>
      </c>
      <c r="H39" s="1">
        <v>0</v>
      </c>
    </row>
    <row r="40" spans="1:8">
      <c r="A40" s="1" t="s">
        <v>24</v>
      </c>
      <c r="B40" s="2">
        <v>0.3769341707229614</v>
      </c>
      <c r="C40" s="1">
        <v>238</v>
      </c>
      <c r="D40" s="1">
        <v>8</v>
      </c>
      <c r="E40" s="1">
        <v>230</v>
      </c>
      <c r="F40" s="1">
        <v>0</v>
      </c>
      <c r="G40" s="1">
        <v>8</v>
      </c>
      <c r="H40" s="1">
        <v>0</v>
      </c>
    </row>
    <row r="41" spans="1:8">
      <c r="A41" s="1" t="s">
        <v>42</v>
      </c>
      <c r="B41" s="2">
        <v>0.3674316108226776</v>
      </c>
      <c r="C41" s="1">
        <v>232</v>
      </c>
      <c r="D41" s="1">
        <v>0</v>
      </c>
      <c r="E41" s="1">
        <v>232</v>
      </c>
      <c r="F41" s="1">
        <v>0</v>
      </c>
      <c r="G41" s="1">
        <v>0</v>
      </c>
      <c r="H41" s="1">
        <v>0</v>
      </c>
    </row>
    <row r="42" spans="1:8">
      <c r="A42" s="1" t="s">
        <v>43</v>
      </c>
      <c r="B42" s="2">
        <v>0.36109659075737</v>
      </c>
      <c r="C42" s="1">
        <v>228</v>
      </c>
      <c r="D42" s="1">
        <v>0</v>
      </c>
      <c r="E42" s="1">
        <v>228</v>
      </c>
      <c r="F42" s="1">
        <v>0</v>
      </c>
      <c r="G42" s="1">
        <v>0</v>
      </c>
      <c r="H42" s="1">
        <v>0</v>
      </c>
    </row>
    <row r="43" spans="1:8">
      <c r="A43" s="1" t="s">
        <v>44</v>
      </c>
      <c r="B43" s="2">
        <v>0.3515940606594086</v>
      </c>
      <c r="C43" s="1">
        <v>222</v>
      </c>
      <c r="D43" s="1">
        <v>0</v>
      </c>
      <c r="E43" s="1">
        <v>222</v>
      </c>
      <c r="F43" s="1">
        <v>0</v>
      </c>
      <c r="G43" s="1">
        <v>0</v>
      </c>
      <c r="H43" s="1">
        <v>0</v>
      </c>
    </row>
    <row r="44" spans="1:8">
      <c r="A44" s="1" t="s">
        <v>45</v>
      </c>
      <c r="B44" s="2">
        <v>0.2977463006973267</v>
      </c>
      <c r="C44" s="1">
        <v>188</v>
      </c>
      <c r="D44" s="1">
        <v>0</v>
      </c>
      <c r="E44" s="1">
        <v>188</v>
      </c>
      <c r="F44" s="1">
        <v>0</v>
      </c>
      <c r="G44" s="1">
        <v>0</v>
      </c>
      <c r="H44" s="1">
        <v>0</v>
      </c>
    </row>
    <row r="45" spans="1:8">
      <c r="A45" s="1" t="s">
        <v>46</v>
      </c>
      <c r="B45" s="2">
        <v>0.2945787906646729</v>
      </c>
      <c r="C45" s="1">
        <v>186</v>
      </c>
      <c r="D45" s="1">
        <v>0</v>
      </c>
      <c r="E45" s="1">
        <v>186</v>
      </c>
      <c r="F45" s="1">
        <v>0</v>
      </c>
      <c r="G45" s="1">
        <v>0</v>
      </c>
      <c r="H45" s="1">
        <v>0</v>
      </c>
    </row>
    <row r="46" spans="1:8">
      <c r="A46" s="1" t="s">
        <v>20</v>
      </c>
      <c r="B46" s="2">
        <v>0.1963858604431152</v>
      </c>
      <c r="C46" s="1">
        <v>124</v>
      </c>
      <c r="D46" s="1">
        <v>12</v>
      </c>
      <c r="E46" s="1">
        <v>124</v>
      </c>
      <c r="F46" s="1">
        <v>0</v>
      </c>
      <c r="G46" s="1">
        <v>0</v>
      </c>
      <c r="H46" s="1">
        <v>12</v>
      </c>
    </row>
    <row r="47" spans="1:8">
      <c r="A47" s="1" t="s">
        <v>16</v>
      </c>
      <c r="B47" s="2">
        <v>0.1773807853460312</v>
      </c>
      <c r="C47" s="1">
        <v>112</v>
      </c>
      <c r="D47" s="1">
        <v>16</v>
      </c>
      <c r="E47" s="1">
        <v>96</v>
      </c>
      <c r="F47" s="1">
        <v>0</v>
      </c>
      <c r="G47" s="1">
        <v>16</v>
      </c>
      <c r="H47" s="1">
        <v>0</v>
      </c>
    </row>
    <row r="48" spans="1:8">
      <c r="A48" s="1" t="s">
        <v>47</v>
      </c>
      <c r="B48" s="2">
        <v>0.1552081853151321</v>
      </c>
      <c r="C48" s="1">
        <v>98</v>
      </c>
      <c r="D48" s="1">
        <v>0</v>
      </c>
      <c r="E48" s="1">
        <v>98</v>
      </c>
      <c r="F48" s="1">
        <v>0</v>
      </c>
      <c r="G48" s="1">
        <v>0</v>
      </c>
      <c r="H48" s="1">
        <v>0</v>
      </c>
    </row>
    <row r="49" spans="1:8">
      <c r="A49" s="1" t="s">
        <v>48</v>
      </c>
      <c r="B49" s="2">
        <v>0.1520406752824783</v>
      </c>
      <c r="C49" s="1">
        <v>96</v>
      </c>
      <c r="D49" s="1">
        <v>0</v>
      </c>
      <c r="E49" s="1">
        <v>60</v>
      </c>
      <c r="F49" s="1">
        <v>36</v>
      </c>
      <c r="G49" s="1">
        <v>0</v>
      </c>
      <c r="H49" s="1">
        <v>0</v>
      </c>
    </row>
    <row r="50" spans="1:8">
      <c r="A50" s="1" t="s">
        <v>49</v>
      </c>
      <c r="B50" s="2">
        <v>0.1362030953168869</v>
      </c>
      <c r="C50" s="1">
        <v>86</v>
      </c>
      <c r="D50" s="1">
        <v>0</v>
      </c>
      <c r="E50" s="1">
        <v>86</v>
      </c>
      <c r="F50" s="1">
        <v>0</v>
      </c>
      <c r="G50" s="1">
        <v>0</v>
      </c>
      <c r="H50" s="1">
        <v>0</v>
      </c>
    </row>
    <row r="51" spans="1:8">
      <c r="A51" s="1" t="s">
        <v>50</v>
      </c>
      <c r="B51" s="2">
        <v>0.1330355852842331</v>
      </c>
      <c r="C51" s="1">
        <v>84</v>
      </c>
      <c r="D51" s="1">
        <v>0</v>
      </c>
      <c r="E51" s="1">
        <v>84</v>
      </c>
      <c r="F51" s="1">
        <v>0</v>
      </c>
      <c r="G51" s="1">
        <v>0</v>
      </c>
      <c r="H51" s="1">
        <v>0</v>
      </c>
    </row>
    <row r="52" spans="1:8">
      <c r="A52" s="1" t="s">
        <v>51</v>
      </c>
      <c r="B52" s="2">
        <v>0.1235330477356911</v>
      </c>
      <c r="C52" s="1">
        <v>78</v>
      </c>
      <c r="D52" s="1">
        <v>0</v>
      </c>
      <c r="E52" s="1">
        <v>78</v>
      </c>
      <c r="F52" s="1">
        <v>0</v>
      </c>
      <c r="G52" s="1">
        <v>0</v>
      </c>
      <c r="H52" s="1">
        <v>0</v>
      </c>
    </row>
    <row r="53" spans="1:8">
      <c r="A53" s="1" t="s">
        <v>52</v>
      </c>
      <c r="B53" s="2">
        <v>0.09819293022155762</v>
      </c>
      <c r="C53" s="1">
        <v>62</v>
      </c>
      <c r="D53" s="1">
        <v>0</v>
      </c>
      <c r="E53" s="1">
        <v>62</v>
      </c>
      <c r="F53" s="1">
        <v>0</v>
      </c>
      <c r="G53" s="1">
        <v>0</v>
      </c>
      <c r="H53" s="1">
        <v>0</v>
      </c>
    </row>
    <row r="54" spans="1:8">
      <c r="A54" s="1" t="s">
        <v>53</v>
      </c>
      <c r="B54" s="2">
        <v>0.07602033764123917</v>
      </c>
      <c r="C54" s="1">
        <v>48</v>
      </c>
      <c r="D54" s="1">
        <v>0</v>
      </c>
      <c r="E54" s="1">
        <v>48</v>
      </c>
      <c r="F54" s="1">
        <v>0</v>
      </c>
      <c r="G54" s="1">
        <v>0</v>
      </c>
      <c r="H54" s="1">
        <v>0</v>
      </c>
    </row>
    <row r="55" spans="1:8">
      <c r="A55" s="1" t="s">
        <v>54</v>
      </c>
      <c r="B55" s="2">
        <v>0.07602033764123917</v>
      </c>
      <c r="C55" s="1">
        <v>48</v>
      </c>
      <c r="D55" s="1">
        <v>0</v>
      </c>
      <c r="E55" s="1">
        <v>48</v>
      </c>
      <c r="F55" s="1">
        <v>0</v>
      </c>
      <c r="G55" s="1">
        <v>0</v>
      </c>
      <c r="H55" s="1">
        <v>0</v>
      </c>
    </row>
    <row r="56" spans="1:8">
      <c r="A56" s="1" t="s">
        <v>55</v>
      </c>
      <c r="B56" s="2">
        <v>0.07602033764123917</v>
      </c>
      <c r="C56" s="1">
        <v>48</v>
      </c>
      <c r="D56" s="1">
        <v>0</v>
      </c>
      <c r="E56" s="1">
        <v>48</v>
      </c>
      <c r="F56" s="1">
        <v>0</v>
      </c>
      <c r="G56" s="1">
        <v>0</v>
      </c>
      <c r="H56" s="1">
        <v>0</v>
      </c>
    </row>
    <row r="57" spans="1:8">
      <c r="A57" s="1" t="s">
        <v>56</v>
      </c>
      <c r="B57" s="2">
        <v>0.06968531012535095</v>
      </c>
      <c r="C57" s="1">
        <v>44</v>
      </c>
      <c r="D57" s="1">
        <v>0</v>
      </c>
      <c r="E57" s="1">
        <v>44</v>
      </c>
      <c r="F57" s="1">
        <v>0</v>
      </c>
      <c r="G57" s="1">
        <v>0</v>
      </c>
      <c r="H57" s="1">
        <v>0</v>
      </c>
    </row>
    <row r="58" spans="1:8">
      <c r="A58" s="1" t="s">
        <v>57</v>
      </c>
      <c r="B58" s="2">
        <v>0.06335028260946274</v>
      </c>
      <c r="C58" s="1">
        <v>40</v>
      </c>
      <c r="D58" s="1">
        <v>0</v>
      </c>
      <c r="E58" s="1">
        <v>40</v>
      </c>
      <c r="F58" s="1">
        <v>0</v>
      </c>
      <c r="G58" s="1">
        <v>0</v>
      </c>
      <c r="H58" s="1">
        <v>0</v>
      </c>
    </row>
    <row r="59" spans="1:8">
      <c r="A59" s="1" t="s">
        <v>58</v>
      </c>
      <c r="B59" s="2">
        <v>0.05701525136828423</v>
      </c>
      <c r="C59" s="1">
        <v>36</v>
      </c>
      <c r="D59" s="1">
        <v>0</v>
      </c>
      <c r="E59" s="1">
        <v>36</v>
      </c>
      <c r="F59" s="1">
        <v>0</v>
      </c>
      <c r="G59" s="1">
        <v>0</v>
      </c>
      <c r="H59" s="1">
        <v>0</v>
      </c>
    </row>
    <row r="60" spans="1:8">
      <c r="A60" s="1" t="s">
        <v>59</v>
      </c>
      <c r="B60" s="2">
        <v>0.05701525136828423</v>
      </c>
      <c r="C60" s="1">
        <v>36</v>
      </c>
      <c r="D60" s="1">
        <v>0</v>
      </c>
      <c r="E60" s="1">
        <v>36</v>
      </c>
      <c r="F60" s="1">
        <v>0</v>
      </c>
      <c r="G60" s="1">
        <v>0</v>
      </c>
      <c r="H60" s="1">
        <v>0</v>
      </c>
    </row>
    <row r="61" spans="1:8">
      <c r="A61" s="1" t="s">
        <v>60</v>
      </c>
      <c r="B61" s="2">
        <v>0.05701525136828423</v>
      </c>
      <c r="C61" s="1">
        <v>36</v>
      </c>
      <c r="D61" s="1">
        <v>0</v>
      </c>
      <c r="E61" s="1">
        <v>36</v>
      </c>
      <c r="F61" s="1">
        <v>0</v>
      </c>
      <c r="G61" s="1">
        <v>0</v>
      </c>
      <c r="H61" s="1">
        <v>0</v>
      </c>
    </row>
    <row r="62" spans="1:8">
      <c r="A62" s="1" t="s">
        <v>61</v>
      </c>
      <c r="B62" s="2">
        <v>0.05701525136828423</v>
      </c>
      <c r="C62" s="1">
        <v>36</v>
      </c>
      <c r="D62" s="1">
        <v>0</v>
      </c>
      <c r="E62" s="1">
        <v>36</v>
      </c>
      <c r="F62" s="1">
        <v>0</v>
      </c>
      <c r="G62" s="1">
        <v>0</v>
      </c>
      <c r="H62" s="1">
        <v>0</v>
      </c>
    </row>
    <row r="63" spans="1:8">
      <c r="A63" s="1" t="s">
        <v>62</v>
      </c>
      <c r="B63" s="2">
        <v>0.05384773761034012</v>
      </c>
      <c r="C63" s="1">
        <v>34</v>
      </c>
      <c r="D63" s="1">
        <v>0</v>
      </c>
      <c r="E63" s="1">
        <v>34</v>
      </c>
      <c r="F63" s="1">
        <v>0</v>
      </c>
      <c r="G63" s="1">
        <v>0</v>
      </c>
      <c r="H63" s="1">
        <v>0</v>
      </c>
    </row>
    <row r="64" spans="1:8">
      <c r="A64" s="1" t="s">
        <v>63</v>
      </c>
      <c r="B64" s="2">
        <v>0.05068022385239601</v>
      </c>
      <c r="C64" s="1">
        <v>32</v>
      </c>
      <c r="D64" s="1">
        <v>0</v>
      </c>
      <c r="E64" s="1">
        <v>32</v>
      </c>
      <c r="F64" s="1">
        <v>0</v>
      </c>
      <c r="G64" s="1">
        <v>0</v>
      </c>
      <c r="H64" s="1">
        <v>0</v>
      </c>
    </row>
    <row r="65" spans="1:8">
      <c r="A65" s="1" t="s">
        <v>64</v>
      </c>
      <c r="B65" s="2">
        <v>0.0475127100944519</v>
      </c>
      <c r="C65" s="1">
        <v>30</v>
      </c>
      <c r="D65" s="1">
        <v>0</v>
      </c>
      <c r="E65" s="1">
        <v>30</v>
      </c>
      <c r="F65" s="1">
        <v>0</v>
      </c>
      <c r="G65" s="1">
        <v>0</v>
      </c>
      <c r="H65" s="1">
        <v>0</v>
      </c>
    </row>
    <row r="66" spans="1:8">
      <c r="A66" s="1" t="s">
        <v>65</v>
      </c>
      <c r="B66" s="2">
        <v>0.0475127100944519</v>
      </c>
      <c r="C66" s="1">
        <v>30</v>
      </c>
      <c r="D66" s="1">
        <v>0</v>
      </c>
      <c r="E66" s="1">
        <v>30</v>
      </c>
      <c r="F66" s="1">
        <v>0</v>
      </c>
      <c r="G66" s="1">
        <v>0</v>
      </c>
      <c r="H66" s="1">
        <v>0</v>
      </c>
    </row>
    <row r="67" spans="1:8">
      <c r="A67" s="1" t="s">
        <v>66</v>
      </c>
      <c r="B67" s="2">
        <v>0.04117768257856369</v>
      </c>
      <c r="C67" s="1">
        <v>26</v>
      </c>
      <c r="D67" s="1">
        <v>0</v>
      </c>
      <c r="E67" s="1">
        <v>26</v>
      </c>
      <c r="F67" s="1">
        <v>0</v>
      </c>
      <c r="G67" s="1">
        <v>0</v>
      </c>
      <c r="H67" s="1">
        <v>0</v>
      </c>
    </row>
    <row r="68" spans="1:8">
      <c r="A68" s="1" t="s">
        <v>67</v>
      </c>
      <c r="B68" s="2">
        <v>0.03801016882061958</v>
      </c>
      <c r="C68" s="1">
        <v>24</v>
      </c>
      <c r="D68" s="1">
        <v>0</v>
      </c>
      <c r="E68" s="1">
        <v>24</v>
      </c>
      <c r="F68" s="1">
        <v>0</v>
      </c>
      <c r="G68" s="1">
        <v>0</v>
      </c>
      <c r="H68" s="1">
        <v>0</v>
      </c>
    </row>
    <row r="69" spans="1:8">
      <c r="A69" s="1" t="s">
        <v>68</v>
      </c>
      <c r="B69" s="2">
        <v>0.03484265506267548</v>
      </c>
      <c r="C69" s="1">
        <v>22</v>
      </c>
      <c r="D69" s="1">
        <v>0</v>
      </c>
      <c r="E69" s="1">
        <v>22</v>
      </c>
      <c r="F69" s="1">
        <v>0</v>
      </c>
      <c r="G69" s="1">
        <v>0</v>
      </c>
      <c r="H69" s="1">
        <v>0</v>
      </c>
    </row>
    <row r="70" spans="1:8">
      <c r="A70" s="1" t="s">
        <v>69</v>
      </c>
      <c r="B70" s="2">
        <v>0.02850762568414211</v>
      </c>
      <c r="C70" s="1">
        <v>18</v>
      </c>
      <c r="D70" s="1">
        <v>0</v>
      </c>
      <c r="E70" s="1">
        <v>18</v>
      </c>
      <c r="F70" s="1">
        <v>0</v>
      </c>
      <c r="G70" s="1">
        <v>0</v>
      </c>
      <c r="H70" s="1">
        <v>0</v>
      </c>
    </row>
    <row r="71" spans="1:8">
      <c r="A71" s="1" t="s">
        <v>70</v>
      </c>
      <c r="B71" s="2">
        <v>0.0221725981682539</v>
      </c>
      <c r="C71" s="1">
        <v>14</v>
      </c>
      <c r="D71" s="1">
        <v>0</v>
      </c>
      <c r="E71" s="1">
        <v>14</v>
      </c>
      <c r="F71" s="1">
        <v>0</v>
      </c>
      <c r="G71" s="1">
        <v>0</v>
      </c>
      <c r="H71" s="1">
        <v>0</v>
      </c>
    </row>
    <row r="72" spans="1:8">
      <c r="A72" s="1" t="s">
        <v>22</v>
      </c>
      <c r="B72" s="2">
        <v>0.012670055963099</v>
      </c>
      <c r="C72" s="1">
        <v>8</v>
      </c>
      <c r="D72" s="1">
        <v>8</v>
      </c>
      <c r="E72" s="1">
        <v>0</v>
      </c>
      <c r="F72" s="1">
        <v>0</v>
      </c>
      <c r="G72" s="1">
        <v>8</v>
      </c>
      <c r="H72" s="1">
        <v>0</v>
      </c>
    </row>
    <row r="73" spans="1:8">
      <c r="A73" s="1" t="s">
        <v>71</v>
      </c>
      <c r="B73" s="2">
        <v>0.012670055963099</v>
      </c>
      <c r="C73" s="1">
        <v>8</v>
      </c>
      <c r="D73" s="1">
        <v>0</v>
      </c>
      <c r="E73" s="1">
        <v>8</v>
      </c>
      <c r="F73" s="1">
        <v>0</v>
      </c>
      <c r="G73" s="1">
        <v>0</v>
      </c>
      <c r="H73" s="1">
        <v>0</v>
      </c>
    </row>
    <row r="74" spans="1:8">
      <c r="A74" s="1" t="s">
        <v>72</v>
      </c>
      <c r="B74" s="2">
        <v>0.012670055963099</v>
      </c>
      <c r="C74" s="1">
        <v>8</v>
      </c>
      <c r="D74" s="1">
        <v>0</v>
      </c>
      <c r="E74" s="1">
        <v>8</v>
      </c>
      <c r="F74" s="1">
        <v>0</v>
      </c>
      <c r="G74" s="1">
        <v>0</v>
      </c>
      <c r="H74" s="1">
        <v>0</v>
      </c>
    </row>
    <row r="75" spans="1:8">
      <c r="A75" s="1" t="s">
        <v>73</v>
      </c>
      <c r="B75" s="2">
        <v>0.006335027981549501</v>
      </c>
      <c r="C75" s="1">
        <v>4</v>
      </c>
      <c r="D75" s="1">
        <v>0</v>
      </c>
      <c r="E75" s="1">
        <v>4</v>
      </c>
      <c r="F75" s="1">
        <v>0</v>
      </c>
      <c r="G75" s="1">
        <v>0</v>
      </c>
      <c r="H75" s="1">
        <v>0</v>
      </c>
    </row>
    <row r="76" spans="1:8">
      <c r="A76" t="s">
        <v>75</v>
      </c>
      <c r="B76">
        <f>SUBTOTAL(109,[flash_percent])</f>
        <v>0</v>
      </c>
      <c r="C76">
        <f>SUBTOTAL(109,[flash])</f>
        <v>0</v>
      </c>
      <c r="D76">
        <f>SUBTOTAL(109,[ram])</f>
        <v>0</v>
      </c>
      <c r="E76">
        <f>SUBTOTAL(109,[Code])</f>
        <v>0</v>
      </c>
      <c r="F76">
        <f>SUBTOTAL(109,[RO_data])</f>
        <v>0</v>
      </c>
      <c r="G76">
        <f>SUBTOTAL(109,[RW_data])</f>
        <v>0</v>
      </c>
      <c r="H7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2026-04-01T01:04:20Z</dcterms:created>
  <dcterms:modified xsi:type="dcterms:W3CDTF">2026-04-01T01:04:20Z</dcterms:modified>
</cp:coreProperties>
</file>